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观测期" sheetId="2" state="visible" r:id="rId2"/>
    <sheet xmlns:r="http://schemas.openxmlformats.org/officeDocument/2006/relationships" name="上架初期" sheetId="3" state="visible" r:id="rId3"/>
    <sheet xmlns:r="http://schemas.openxmlformats.org/officeDocument/2006/relationships" name="热卖期" sheetId="4" state="visible" r:id="rId4"/>
    <sheet xmlns:r="http://schemas.openxmlformats.org/officeDocument/2006/relationships" name="放量期" sheetId="5" state="visible" r:id="rId5"/>
    <sheet xmlns:r="http://schemas.openxmlformats.org/officeDocument/2006/relationships" name="复盘看板" sheetId="6" state="visible" r:id="rId6"/>
    <sheet xmlns:r="http://schemas.openxmlformats.org/officeDocument/2006/relationships" name="复盘后监控" sheetId="7" state="visible" r:id="rId7"/>
    <sheet xmlns:r="http://schemas.openxmlformats.org/officeDocument/2006/relationships" name="投流追踪" sheetId="8" state="visible" r:id="rId8"/>
    <sheet xmlns:r="http://schemas.openxmlformats.org/officeDocument/2006/relationships" name="达人管线" sheetId="9" state="visible" r:id="rId9"/>
    <sheet xmlns:r="http://schemas.openxmlformats.org/officeDocument/2006/relationships" name="内容迭代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FF2CC"/>
      </patternFill>
    </fill>
    <fill>
      <patternFill patternType="solid">
        <fgColor rgb="00DEEBF7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0" pivotButton="0" quotePrefix="0" xfId="0"/>
    <xf numFmtId="164" fontId="0" fillId="5" borderId="1" pivotButton="0" quotePrefix="0" xfId="0"/>
    <xf numFmtId="164" fontId="0" fillId="0" borderId="0" pivotButton="0" quotePrefix="0" xfId="0"/>
    <xf numFmtId="0" fontId="0" fillId="5" borderId="1" pivotButton="0" quotePrefix="0" xfId="0"/>
    <xf numFmtId="0" fontId="0" fillId="5" borderId="0" pivotButton="0" quotePrefix="0" xfId="0"/>
    <xf numFmtId="0" fontId="2" fillId="3" borderId="1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儿童种植盲盒 运营数据看板 · 使用说明（给运营/小白/实习生）</t>
        </is>
      </c>
    </row>
    <row r="2">
      <c r="A2" s="2" t="inlineStr"/>
    </row>
    <row r="3">
      <c r="A3" s="2" t="inlineStr">
        <is>
          <t>【这张表是什么】上架后所有运营数据的唯一入口：观测→上架初期→热卖期→放量期→复盘→监控，投流/达人/内容迭代也都在这里。每周一填一次，看颜色就知道该干嘛。</t>
        </is>
      </c>
    </row>
    <row r="4">
      <c r="A4" s="2" t="inlineStr"/>
    </row>
    <row r="5">
      <c r="A5" s="1" t="inlineStr">
        <is>
          <t>【颜色含义】</t>
        </is>
      </c>
    </row>
    <row r="6">
      <c r="A6" s="2" t="inlineStr">
        <is>
          <t xml:space="preserve">  黄色单元格 = 你要手动填的（销量/曝光/点击/成本等，数据来自卖家中心后台）</t>
        </is>
      </c>
    </row>
    <row r="7">
      <c r="A7" s="2" t="inlineStr">
        <is>
          <t xml:space="preserve">  绿色单元格 = 自动公式，别改（环比/净利/ROI/状态自动算）</t>
        </is>
      </c>
    </row>
    <row r="8">
      <c r="A8" s="2" t="inlineStr">
        <is>
          <t xml:space="preserve">  蓝色单元格 = 固定口径/说明，别改</t>
        </is>
      </c>
    </row>
    <row r="9">
      <c r="A9" s="2" t="inlineStr">
        <is>
          <t xml:space="preserve">  红色 = 自动预警（环比&lt;0、未达标、异常），看到红色先看「异常定位」列</t>
        </is>
      </c>
    </row>
    <row r="10">
      <c r="A10" s="2" t="inlineStr"/>
    </row>
    <row r="11">
      <c r="A11" s="1" t="inlineStr">
        <is>
          <t>【数据从哪来】</t>
        </is>
      </c>
    </row>
    <row r="12">
      <c r="A12" s="2" t="inlineStr">
        <is>
          <t xml:space="preserve">  曝光/点击/加购/成交/退货/评分 → TikTok 卖家中心 数据看板</t>
        </is>
      </c>
    </row>
    <row r="13">
      <c r="A13" s="2" t="inlineStr">
        <is>
          <t xml:space="preserve">  达人出单/样品 → 达人管线表 + 你自己寄样记录</t>
        </is>
      </c>
    </row>
    <row r="14">
      <c r="A14" s="2" t="inlineStr">
        <is>
          <t xml:space="preserve">  投流 GMV/花费 → 卖家中心广告后台</t>
        </is>
      </c>
    </row>
    <row r="15">
      <c r="A15" s="2" t="inlineStr">
        <is>
          <t xml:space="preserve">  库存/补货 → 边境仓系统 + 供应商</t>
        </is>
      </c>
    </row>
    <row r="16">
      <c r="A16" s="2" t="inlineStr"/>
    </row>
    <row r="17">
      <c r="A17" s="1" t="inlineStr">
        <is>
          <t>【怎么用 + 怎么判断下一步】</t>
        </is>
      </c>
    </row>
    <row r="18">
      <c r="A18" s="2" t="inlineStr">
        <is>
          <t xml:space="preserve">  1. 观测期：看「选品分≥65、盈亏平衡&lt;市场价80分位」决定做不做。</t>
        </is>
      </c>
    </row>
    <row r="19">
      <c r="A19" s="2" t="inlineStr">
        <is>
          <t xml:space="preserve">  2. 上架初期：14天测款窗，填漏斗；CTR&lt;1%先换主图/标题，CVR&lt;2%改详情页，一次只改一个变量。</t>
        </is>
      </c>
    </row>
    <row r="20">
      <c r="A20" s="2" t="inlineStr">
        <is>
          <t xml:space="preserve">  3. 热卖期：看环比，变红（环比&lt;0）先定位是流量降还是转化降；达人出单率&lt;40%筛高精准达人。</t>
        </is>
      </c>
    </row>
    <row r="21">
      <c r="A21" s="2" t="inlineStr">
        <is>
          <t xml:space="preserve">  4. 放量期：净利率&lt;10%或保本ROI&gt;门槛→提客单/压成本；投流只看综合ROAS≥1.5才加预算。</t>
        </is>
      </c>
    </row>
    <row r="22">
      <c r="A22" s="2" t="inlineStr">
        <is>
          <t xml:space="preserve">  5. 复盘看板：填本周/上周，环比自动红，对照「异常定位」列做动作。</t>
        </is>
      </c>
    </row>
    <row r="23">
      <c r="A23" s="2" t="inlineStr">
        <is>
          <t xml:space="preserve">  6. 复盘后监控：填当前值，状态自动显示「正常/异常」，异常即触发右侧动作。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42" customWidth="1" min="3" max="3"/>
  </cols>
  <sheetData>
    <row r="1">
      <c r="A1" s="3" t="inlineStr">
        <is>
          <t>儿童种植盲盒 观测期（选品阶段，做不做这个品的判断）</t>
        </is>
      </c>
    </row>
    <row r="3">
      <c r="A3" s="4" t="inlineStr">
        <is>
          <t>指标</t>
        </is>
      </c>
      <c r="B3" s="4" t="inlineStr">
        <is>
          <t>数值</t>
        </is>
      </c>
      <c r="C3" s="4" t="inlineStr">
        <is>
          <t>说明</t>
        </is>
      </c>
    </row>
    <row r="4">
      <c r="A4" t="inlineStr">
        <is>
          <t>选品总分</t>
        </is>
      </c>
      <c r="B4" s="5" t="n">
        <v>73</v>
      </c>
      <c r="C4" s="6" t="inlineStr">
        <is>
          <t>七维加权，≥80推进/65-79测试/&lt;65观察淘汰</t>
        </is>
      </c>
    </row>
    <row r="5">
      <c r="A5" t="inlineStr">
        <is>
          <t>竞品价格带(VND)</t>
        </is>
      </c>
      <c r="B5" s="5" t="inlineStr">
        <is>
          <t>11k-46k</t>
        </is>
      </c>
      <c r="C5" s="6" t="inlineStr">
        <is>
          <t>龙头价带</t>
        </is>
      </c>
    </row>
    <row r="6">
      <c r="A6" t="inlineStr">
        <is>
          <t>盈亏平衡(VND)</t>
        </is>
      </c>
      <c r="B6" s="5" t="n">
        <v>38422</v>
      </c>
      <c r="C6" s="6" t="inlineStr">
        <is>
          <t>商品卡口径</t>
        </is>
      </c>
    </row>
    <row r="7">
      <c r="A7" t="inlineStr">
        <is>
          <t>建议定价(VND)</t>
        </is>
      </c>
      <c r="B7" s="5" t="n">
        <v>46000</v>
      </c>
      <c r="C7" s="6" t="inlineStr">
        <is>
          <t>主推</t>
        </is>
      </c>
    </row>
    <row r="8">
      <c r="A8" t="inlineStr">
        <is>
          <t>净利率(商品卡)</t>
        </is>
      </c>
      <c r="B8" s="5" t="n">
        <v>0.132</v>
      </c>
      <c r="C8" s="6" t="inlineStr"/>
    </row>
    <row r="9">
      <c r="A9" t="inlineStr">
        <is>
          <t>保本ROI</t>
        </is>
      </c>
      <c r="B9" s="5" t="n">
        <v>7.59</v>
      </c>
      <c r="C9" s="6" t="inlineStr">
        <is>
          <t>不含投流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22" customWidth="1" min="5" max="5"/>
  </cols>
  <sheetData>
    <row r="1">
      <c r="A1" s="3" t="inlineStr">
        <is>
          <t>儿童种植盲盒 上架初期（0-1）商品卡漏斗（黄色填曝光，其余自动算转化率）</t>
        </is>
      </c>
    </row>
    <row r="3">
      <c r="A3" s="4" t="inlineStr">
        <is>
          <t>漏斗环节</t>
        </is>
      </c>
      <c r="B3" s="4" t="inlineStr">
        <is>
          <t>数值</t>
        </is>
      </c>
      <c r="C3" s="4" t="inlineStr">
        <is>
          <t>转化率</t>
        </is>
      </c>
      <c r="D3" s="4" t="inlineStr">
        <is>
          <t>预警阈值</t>
        </is>
      </c>
      <c r="E3" s="4" t="inlineStr">
        <is>
          <t>异常动作</t>
        </is>
      </c>
    </row>
    <row r="4">
      <c r="A4" t="inlineStr">
        <is>
          <t>曝光</t>
        </is>
      </c>
      <c r="B4" s="5" t="n">
        <v>30000</v>
      </c>
      <c r="C4" s="7" t="inlineStr">
        <is>
          <t>-</t>
        </is>
      </c>
      <c r="D4" t="inlineStr">
        <is>
          <t>-</t>
        </is>
      </c>
      <c r="E4" t="inlineStr">
        <is>
          <t>曝光&lt;1k查关键词/类目</t>
        </is>
      </c>
    </row>
    <row r="5">
      <c r="A5" t="inlineStr">
        <is>
          <t>点击</t>
        </is>
      </c>
      <c r="B5" s="5" t="n">
        <v>420</v>
      </c>
      <c r="C5" s="7">
        <f>B4/B3</f>
        <v/>
      </c>
      <c r="D5" t="inlineStr">
        <is>
          <t>&lt;1%</t>
        </is>
      </c>
      <c r="E5" t="inlineStr">
        <is>
          <t>换主图/标题</t>
        </is>
      </c>
    </row>
    <row r="6">
      <c r="A6" t="inlineStr">
        <is>
          <t>加购</t>
        </is>
      </c>
      <c r="B6" s="5" t="n">
        <v>90</v>
      </c>
      <c r="C6" s="7">
        <f>B5/B4</f>
        <v/>
      </c>
      <c r="D6" t="inlineStr">
        <is>
          <t>&lt;5%</t>
        </is>
      </c>
      <c r="E6" t="inlineStr">
        <is>
          <t>查卖点/价格</t>
        </is>
      </c>
    </row>
    <row r="7">
      <c r="A7" t="inlineStr">
        <is>
          <t>下单</t>
        </is>
      </c>
      <c r="B7" s="5" t="n">
        <v>21</v>
      </c>
      <c r="C7" s="7">
        <f>B6/B5</f>
        <v/>
      </c>
      <c r="D7" t="inlineStr">
        <is>
          <t>&lt;2%</t>
        </is>
      </c>
      <c r="E7" t="inlineStr">
        <is>
          <t>查详情/信任</t>
        </is>
      </c>
    </row>
    <row r="8">
      <c r="A8" t="inlineStr">
        <is>
          <t>成交</t>
        </is>
      </c>
      <c r="B8" s="5" t="n">
        <v>18</v>
      </c>
      <c r="C8" s="7">
        <f>B7/B6</f>
        <v/>
      </c>
      <c r="D8" t="inlineStr">
        <is>
          <t>&lt;90%</t>
        </is>
      </c>
      <c r="E8" t="inlineStr">
        <is>
          <t>查支付/运费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8" customWidth="1" min="5" max="5"/>
  </cols>
  <sheetData>
    <row r="1">
      <c r="A1" s="3" t="inlineStr">
        <is>
          <t>儿童种植盲盒 热卖期（1-10）增长 + 达人 + 流量结构</t>
        </is>
      </c>
    </row>
    <row r="3">
      <c r="A3" s="4" t="inlineStr">
        <is>
          <t>增长指标</t>
        </is>
      </c>
      <c r="B3" s="4" t="inlineStr">
        <is>
          <t>本周</t>
        </is>
      </c>
      <c r="C3" s="4" t="inlineStr">
        <is>
          <t>上周</t>
        </is>
      </c>
      <c r="D3" s="4" t="inlineStr">
        <is>
          <t>环比</t>
        </is>
      </c>
      <c r="E3" s="4" t="inlineStr">
        <is>
          <t>预警</t>
        </is>
      </c>
    </row>
    <row r="4">
      <c r="A4" t="inlineStr">
        <is>
          <t>日均销量</t>
        </is>
      </c>
      <c r="B4" s="5" t="n">
        <v>8</v>
      </c>
      <c r="C4" t="n">
        <v>5</v>
      </c>
      <c r="D4" s="8">
        <f>IF(C4=0,"",(B4-C4)/C4)</f>
        <v/>
      </c>
      <c r="E4" t="inlineStr">
        <is>
          <t>&lt;0转负预警</t>
        </is>
      </c>
    </row>
    <row r="5">
      <c r="A5" t="inlineStr">
        <is>
          <t>日均GMV</t>
        </is>
      </c>
      <c r="B5" s="5" t="n">
        <v>1350000</v>
      </c>
      <c r="C5" t="n">
        <v>900000</v>
      </c>
      <c r="D5" s="8">
        <f>IF(C5=0,"",(B5-C5)/C5)</f>
        <v/>
      </c>
      <c r="E5" t="inlineStr">
        <is>
          <t>&lt;0预警</t>
        </is>
      </c>
    </row>
    <row r="6">
      <c r="A6" t="inlineStr">
        <is>
          <t>曝光量</t>
        </is>
      </c>
      <c r="B6" s="5" t="n">
        <v>50000</v>
      </c>
      <c r="C6" t="n">
        <v>40000</v>
      </c>
      <c r="D6" s="8">
        <f>IF(C6=0,"",(B6-C6)/C6)</f>
        <v/>
      </c>
      <c r="E6" t="inlineStr">
        <is>
          <t>&lt;0预警</t>
        </is>
      </c>
    </row>
    <row r="7">
      <c r="A7" t="inlineStr">
        <is>
          <t>点击率</t>
        </is>
      </c>
      <c r="B7" s="5" t="n">
        <v>0.012</v>
      </c>
      <c r="C7" t="n">
        <v>0.01</v>
      </c>
      <c r="D7" s="8">
        <f>IF(C7=0,"",(B7-C7)/C7)</f>
        <v/>
      </c>
      <c r="E7" t="inlineStr">
        <is>
          <t>&lt;0预警</t>
        </is>
      </c>
    </row>
    <row r="8">
      <c r="A8" t="inlineStr">
        <is>
          <t>转化率</t>
        </is>
      </c>
      <c r="B8" s="5" t="n">
        <v>0.025</v>
      </c>
      <c r="C8" t="n">
        <v>0.02</v>
      </c>
      <c r="D8" s="8">
        <f>IF(C8=0,"",(B8-C8)/C8)</f>
        <v/>
      </c>
      <c r="E8" t="inlineStr">
        <is>
          <t>&lt;0预警</t>
        </is>
      </c>
    </row>
    <row r="10">
      <c r="A10" t="inlineStr">
        <is>
          <t>达人指标</t>
        </is>
      </c>
      <c r="B10" t="inlineStr">
        <is>
          <t>数值</t>
        </is>
      </c>
      <c r="C10" t="inlineStr">
        <is>
          <t>说明</t>
        </is>
      </c>
    </row>
    <row r="11">
      <c r="A11" s="4" t="inlineStr">
        <is>
          <t>达人出单率A</t>
        </is>
      </c>
      <c r="B11" s="4" t="n">
        <v>0.7771</v>
      </c>
      <c r="C11" s="4" t="inlineStr">
        <is>
          <t>中位数(FastMoss 12样本)</t>
        </is>
      </c>
    </row>
    <row r="12">
      <c r="A12" t="inlineStr">
        <is>
          <t>达人出单率B</t>
        </is>
      </c>
      <c r="B12" s="5" t="n">
        <v>0.4171</v>
      </c>
      <c r="C12" t="inlineStr">
        <is>
          <t>最低20%平均</t>
        </is>
      </c>
    </row>
    <row r="13">
      <c r="A13" t="inlineStr">
        <is>
          <t>平均出单数</t>
        </is>
      </c>
      <c r="B13" s="5" t="n">
        <v>10</v>
      </c>
      <c r="C13" t="inlineStr">
        <is>
          <t>假设，实际回填</t>
        </is>
      </c>
    </row>
    <row r="14">
      <c r="A14" t="inlineStr">
        <is>
          <t>邮寄达人数</t>
        </is>
      </c>
      <c r="B14" s="5" t="n">
        <v>10</v>
      </c>
      <c r="C14" t="inlineStr">
        <is>
          <t>小样先行10人</t>
        </is>
      </c>
    </row>
    <row r="15">
      <c r="A15" t="inlineStr">
        <is>
          <t>单个样品成本(VND)</t>
        </is>
      </c>
      <c r="B15" s="5" t="n">
        <v>42590</v>
      </c>
      <c r="C15" t="inlineStr">
        <is>
          <t>产品+纸箱+边境仓+尾程2万</t>
        </is>
      </c>
    </row>
    <row r="16">
      <c r="A16" t="inlineStr">
        <is>
          <t>样品平摊A(VND)</t>
        </is>
      </c>
      <c r="B16" s="9">
        <f>B15*B14/(B11*B14*B13)</f>
        <v/>
      </c>
      <c r="C16" t="inlineStr">
        <is>
          <t>总样品成本÷(出单率A×人数×平均出单)</t>
        </is>
      </c>
    </row>
    <row r="17">
      <c r="A17" t="inlineStr">
        <is>
          <t>样品平摊B(VND)</t>
        </is>
      </c>
      <c r="B17" s="10">
        <f>B15*B14/(B12*B14*B13)</f>
        <v/>
      </c>
      <c r="C17" t="inlineStr">
        <is>
          <t>同上，出单率B</t>
        </is>
      </c>
    </row>
    <row r="19">
      <c r="A19" s="4" t="inlineStr">
        <is>
          <t>流量结构</t>
        </is>
      </c>
      <c r="B19" s="11" t="inlineStr">
        <is>
          <t>订单数</t>
        </is>
      </c>
      <c r="C19" s="4" t="inlineStr">
        <is>
          <t>占比</t>
        </is>
      </c>
      <c r="D19" s="4" t="inlineStr">
        <is>
          <t>说明</t>
        </is>
      </c>
    </row>
    <row r="20">
      <c r="A20" t="inlineStr">
        <is>
          <t>商品卡</t>
        </is>
      </c>
      <c r="B20" s="5" t="n">
        <v>12</v>
      </c>
      <c r="C20" s="8">
        <f>B20/SUM(B20:B22)</f>
        <v/>
      </c>
      <c r="D20" t="inlineStr"/>
    </row>
    <row r="21">
      <c r="A21" t="inlineStr">
        <is>
          <t>自有短视频</t>
        </is>
      </c>
      <c r="B21" s="5" t="n">
        <v>4</v>
      </c>
      <c r="C21" s="8">
        <f>B21/SUM(B20:B22)</f>
        <v/>
      </c>
      <c r="D21" t="inlineStr"/>
    </row>
    <row r="22">
      <c r="A22" t="inlineStr">
        <is>
          <t>达人带货</t>
        </is>
      </c>
      <c r="B22" t="n">
        <v>2</v>
      </c>
      <c r="C22" s="8">
        <f>B22/SUM(B20:B22)</f>
        <v/>
      </c>
      <c r="D22" t="inlineStr"/>
    </row>
  </sheetData>
  <conditionalFormatting sqref="D4">
    <cfRule type="cellIs" priority="1" operator="lessThan" dxfId="0">
      <formula>0</formula>
    </cfRule>
  </conditionalFormatting>
  <conditionalFormatting sqref="D5">
    <cfRule type="cellIs" priority="2" operator="lessThan" dxfId="0">
      <formula>0</formula>
    </cfRule>
  </conditionalFormatting>
  <conditionalFormatting sqref="D6">
    <cfRule type="cellIs" priority="3" operator="lessThan" dxfId="0">
      <formula>0</formula>
    </cfRule>
  </conditionalFormatting>
  <conditionalFormatting sqref="D7">
    <cfRule type="cellIs" priority="4" operator="lessThan" dxfId="0">
      <formula>0</formula>
    </cfRule>
  </conditionalFormatting>
  <conditionalFormatting sqref="D8">
    <cfRule type="cellIs" priority="5" operator="lessThan" dxfId="0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2" customWidth="1" min="4" max="4"/>
  </cols>
  <sheetData>
    <row r="1">
      <c r="A1" s="3" t="inlineStr">
        <is>
          <t>儿童种植盲盒 放量期（10-100+）财务 + 投流</t>
        </is>
      </c>
    </row>
    <row r="3">
      <c r="A3" s="4" t="inlineStr">
        <is>
          <t>财务指标</t>
        </is>
      </c>
      <c r="B3" s="4" t="inlineStr">
        <is>
          <t>数值</t>
        </is>
      </c>
      <c r="C3" s="4" t="inlineStr">
        <is>
          <t>预警</t>
        </is>
      </c>
      <c r="D3" s="4" t="inlineStr">
        <is>
          <t>说明</t>
        </is>
      </c>
    </row>
    <row r="4">
      <c r="A4" t="inlineStr">
        <is>
          <t>日均销量</t>
        </is>
      </c>
      <c r="B4" s="5" t="n">
        <v>40</v>
      </c>
      <c r="C4" t="inlineStr">
        <is>
          <t>&lt;30预警</t>
        </is>
      </c>
      <c r="D4" t="inlineStr">
        <is>
          <t>放量目标</t>
        </is>
      </c>
    </row>
    <row r="5">
      <c r="A5" t="inlineStr">
        <is>
          <t>客单价(VND)</t>
        </is>
      </c>
      <c r="B5" s="5" t="n">
        <v>46000</v>
      </c>
      <c r="C5" t="inlineStr"/>
      <c r="D5" t="inlineStr">
        <is>
          <t>主推</t>
        </is>
      </c>
    </row>
    <row r="6">
      <c r="A6" t="inlineStr">
        <is>
          <t>GMV/日(VND)</t>
        </is>
      </c>
      <c r="B6" s="9">
        <f>B4*B5</f>
        <v/>
      </c>
      <c r="C6" t="inlineStr">
        <is>
          <t>&lt;150万预警</t>
        </is>
      </c>
      <c r="D6" t="inlineStr"/>
    </row>
    <row r="7">
      <c r="A7" t="inlineStr">
        <is>
          <t>净利率</t>
        </is>
      </c>
      <c r="B7" s="5" t="n">
        <v>0.132</v>
      </c>
      <c r="C7" t="inlineStr">
        <is>
          <t>&lt;10%预警</t>
        </is>
      </c>
      <c r="D7" t="inlineStr">
        <is>
          <t>商品卡</t>
        </is>
      </c>
    </row>
    <row r="8">
      <c r="A8" t="inlineStr">
        <is>
          <t>净利润/日(VND)</t>
        </is>
      </c>
      <c r="B8" s="9">
        <f>B6*B7</f>
        <v/>
      </c>
      <c r="C8" t="inlineStr">
        <is>
          <t>&lt;0预警</t>
        </is>
      </c>
      <c r="D8" t="inlineStr"/>
    </row>
    <row r="9">
      <c r="A9" t="inlineStr">
        <is>
          <t>保本ROI</t>
        </is>
      </c>
      <c r="B9" s="9">
        <f>1/B7</f>
        <v/>
      </c>
      <c r="C9" t="inlineStr">
        <is>
          <t>&gt;门槛预警</t>
        </is>
      </c>
      <c r="D9" t="inlineStr"/>
    </row>
    <row r="10">
      <c r="A10" t="inlineStr">
        <is>
          <t>投流ROI</t>
        </is>
      </c>
      <c r="B10" s="5" t="inlineStr"/>
      <c r="C10" t="inlineStr">
        <is>
          <t>&lt;综合1.5预警</t>
        </is>
      </c>
      <c r="D10" t="inlineStr">
        <is>
          <t>只放盈利素材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8" customWidth="1" min="6" max="6"/>
    <col width="26" customWidth="1" min="7" max="7"/>
    <col width="20" customWidth="1" min="8" max="8"/>
  </cols>
  <sheetData>
    <row r="1">
      <c r="A1" s="3" t="inlineStr">
        <is>
          <t>儿童种植盲盒 周复盘看板（填本周/上周，环比+达标+异常定位自动算）</t>
        </is>
      </c>
    </row>
    <row r="3">
      <c r="A3" s="4" t="inlineStr">
        <is>
          <t>复盘维度</t>
        </is>
      </c>
      <c r="B3" s="4" t="inlineStr">
        <is>
          <t>本周</t>
        </is>
      </c>
      <c r="C3" s="4" t="inlineStr">
        <is>
          <t>上周</t>
        </is>
      </c>
      <c r="D3" s="4" t="inlineStr">
        <is>
          <t>环比</t>
        </is>
      </c>
      <c r="E3" s="4" t="inlineStr">
        <is>
          <t>目标</t>
        </is>
      </c>
      <c r="F3" s="4" t="inlineStr">
        <is>
          <t>达标?</t>
        </is>
      </c>
      <c r="G3" s="4" t="inlineStr">
        <is>
          <t>异常定位</t>
        </is>
      </c>
      <c r="H3" s="4" t="inlineStr">
        <is>
          <t>优化动作</t>
        </is>
      </c>
    </row>
    <row r="4">
      <c r="A4" t="inlineStr">
        <is>
          <t>曝光</t>
        </is>
      </c>
      <c r="B4" s="5" t="inlineStr"/>
      <c r="C4" s="5" t="inlineStr"/>
      <c r="D4" s="12">
        <f>IF(B4=0,"",(B4-C4)/C4)</f>
        <v/>
      </c>
      <c r="E4" s="13" t="n">
        <v>50000</v>
      </c>
      <c r="F4" s="13">
        <f>IF(B4&gt;=E4,"Y","N")</f>
        <v/>
      </c>
      <c r="G4" s="13" t="inlineStr">
        <is>
          <t>曝光&lt;目标→关键词/类目/投流</t>
        </is>
      </c>
      <c r="H4" s="13" t="inlineStr">
        <is>
          <t>扩词/补属性</t>
        </is>
      </c>
    </row>
    <row r="5">
      <c r="A5" t="inlineStr">
        <is>
          <t>点击率</t>
        </is>
      </c>
      <c r="B5" s="5" t="inlineStr"/>
      <c r="C5" s="5" t="inlineStr"/>
      <c r="D5" s="12">
        <f>IF(B5=0,"",(B5-C5)/C5)</f>
        <v/>
      </c>
      <c r="E5" s="13" t="n">
        <v>0.012</v>
      </c>
      <c r="F5" s="13">
        <f>IF(B5&gt;=E5,"Y","N")</f>
        <v/>
      </c>
      <c r="G5" s="13" t="inlineStr">
        <is>
          <t>CTR&lt;1%→主图/标题</t>
        </is>
      </c>
      <c r="H5" s="13" t="inlineStr">
        <is>
          <t>主图AB</t>
        </is>
      </c>
    </row>
    <row r="6">
      <c r="A6" t="inlineStr">
        <is>
          <t>加购率</t>
        </is>
      </c>
      <c r="B6" s="5" t="inlineStr"/>
      <c r="C6" s="5" t="inlineStr"/>
      <c r="D6" s="12">
        <f>IF(B6=0,"",(B6-C6)/C6)</f>
        <v/>
      </c>
      <c r="E6" s="13" t="n">
        <v>0.05</v>
      </c>
      <c r="F6" s="13">
        <f>IF(B6&gt;=E6,"Y","N")</f>
        <v/>
      </c>
      <c r="G6" s="13" t="inlineStr">
        <is>
          <t>加购低→卖点/价格</t>
        </is>
      </c>
      <c r="H6" s="13" t="inlineStr">
        <is>
          <t>价格弹性测试</t>
        </is>
      </c>
    </row>
    <row r="7">
      <c r="A7" t="inlineStr">
        <is>
          <t>转化率</t>
        </is>
      </c>
      <c r="B7" s="5" t="inlineStr"/>
      <c r="C7" s="5" t="inlineStr"/>
      <c r="D7" s="12">
        <f>IF(B7=0,"",(B7-C7)/C7)</f>
        <v/>
      </c>
      <c r="E7" s="13" t="n">
        <v>0.025</v>
      </c>
      <c r="F7" s="13">
        <f>IF(B7&gt;=E7,"Y","N")</f>
        <v/>
      </c>
      <c r="G7" s="13" t="inlineStr">
        <is>
          <t>CVR低→详情/信任</t>
        </is>
      </c>
      <c r="H7" s="13" t="inlineStr">
        <is>
          <t>详情页优化</t>
        </is>
      </c>
    </row>
    <row r="8">
      <c r="A8" t="inlineStr">
        <is>
          <t>日均销量</t>
        </is>
      </c>
      <c r="B8" s="5" t="inlineStr"/>
      <c r="C8" s="5" t="inlineStr"/>
      <c r="D8" s="12">
        <f>IF(B8=0,"",(B8-C8)/C8)</f>
        <v/>
      </c>
      <c r="E8" s="13" t="n">
        <v>10</v>
      </c>
      <c r="F8" s="13">
        <f>IF(B8&gt;=E8,"Y","N")</f>
        <v/>
      </c>
      <c r="G8" s="13" t="inlineStr">
        <is>
          <t>销量降→流量/转化</t>
        </is>
      </c>
      <c r="H8" s="13" t="inlineStr">
        <is>
          <t>漏斗定位</t>
        </is>
      </c>
    </row>
    <row r="9">
      <c r="A9" t="inlineStr">
        <is>
          <t>退货率</t>
        </is>
      </c>
      <c r="B9" s="5" t="inlineStr"/>
      <c r="C9" s="5" t="inlineStr"/>
      <c r="D9" s="12">
        <f>IF(B9=0,"",(B9-C9)/C9)</f>
        <v/>
      </c>
      <c r="E9" s="13" t="n">
        <v>0.08</v>
      </c>
      <c r="F9" s="13">
        <f>IF(B9&gt;=E9,"Y","N")</f>
        <v/>
      </c>
      <c r="G9" s="13" t="inlineStr">
        <is>
          <t>退货&gt;8%→品控/描述</t>
        </is>
      </c>
      <c r="H9" s="13" t="inlineStr">
        <is>
          <t>质检/详情修正</t>
        </is>
      </c>
    </row>
    <row r="10">
      <c r="A10" t="inlineStr">
        <is>
          <t>评分</t>
        </is>
      </c>
      <c r="B10" s="5" t="inlineStr"/>
      <c r="C10" s="5" t="inlineStr"/>
      <c r="D10" s="12">
        <f>IF(B10=0,"",(B10-C10)/C10)</f>
        <v/>
      </c>
      <c r="E10" s="13" t="n">
        <v>4.5</v>
      </c>
      <c r="F10" s="13">
        <f>IF(B10&gt;=E10,"Y","N")</f>
        <v/>
      </c>
      <c r="G10" s="13" t="inlineStr">
        <is>
          <t>评分&lt;4.5→服务/质量</t>
        </is>
      </c>
      <c r="H10" s="13" t="inlineStr">
        <is>
          <t>售后优化</t>
        </is>
      </c>
    </row>
    <row r="11">
      <c r="A11" t="inlineStr">
        <is>
          <t>净利率</t>
        </is>
      </c>
      <c r="B11" s="5" t="inlineStr"/>
      <c r="C11" s="5" t="inlineStr"/>
      <c r="D11" s="12">
        <f>IF(B11=0,"",(B11-C11)/C11)</f>
        <v/>
      </c>
      <c r="E11" s="13" t="n">
        <v>0.13</v>
      </c>
      <c r="F11" s="13">
        <f>IF(B11&gt;=E11,"Y","N")</f>
        <v/>
      </c>
      <c r="G11" s="13" t="inlineStr">
        <is>
          <t>净利&lt;10%→成本/定价</t>
        </is>
      </c>
      <c r="H11" s="13" t="inlineStr">
        <is>
          <t>提客单/压成本</t>
        </is>
      </c>
    </row>
  </sheetData>
  <conditionalFormatting sqref="D4">
    <cfRule type="cellIs" priority="1" operator="lessThan" dxfId="0">
      <formula>0</formula>
    </cfRule>
  </conditionalFormatting>
  <conditionalFormatting sqref="F4">
    <cfRule type="cellIs" priority="2" operator="equal" dxfId="0">
      <formula>"N"</formula>
    </cfRule>
  </conditionalFormatting>
  <conditionalFormatting sqref="D5">
    <cfRule type="cellIs" priority="3" operator="lessThan" dxfId="0">
      <formula>0</formula>
    </cfRule>
  </conditionalFormatting>
  <conditionalFormatting sqref="F5">
    <cfRule type="cellIs" priority="4" operator="equal" dxfId="0">
      <formula>"N"</formula>
    </cfRule>
  </conditionalFormatting>
  <conditionalFormatting sqref="D6">
    <cfRule type="cellIs" priority="5" operator="lessThan" dxfId="0">
      <formula>0</formula>
    </cfRule>
  </conditionalFormatting>
  <conditionalFormatting sqref="F6">
    <cfRule type="cellIs" priority="6" operator="equal" dxfId="0">
      <formula>"N"</formula>
    </cfRule>
  </conditionalFormatting>
  <conditionalFormatting sqref="D7">
    <cfRule type="cellIs" priority="7" operator="lessThan" dxfId="0">
      <formula>0</formula>
    </cfRule>
  </conditionalFormatting>
  <conditionalFormatting sqref="F7">
    <cfRule type="cellIs" priority="8" operator="equal" dxfId="0">
      <formula>"N"</formula>
    </cfRule>
  </conditionalFormatting>
  <conditionalFormatting sqref="D8">
    <cfRule type="cellIs" priority="9" operator="lessThan" dxfId="0">
      <formula>0</formula>
    </cfRule>
  </conditionalFormatting>
  <conditionalFormatting sqref="F8">
    <cfRule type="cellIs" priority="10" operator="equal" dxfId="0">
      <formula>"N"</formula>
    </cfRule>
  </conditionalFormatting>
  <conditionalFormatting sqref="D9">
    <cfRule type="cellIs" priority="11" operator="lessThan" dxfId="0">
      <formula>0</formula>
    </cfRule>
  </conditionalFormatting>
  <conditionalFormatting sqref="F9">
    <cfRule type="cellIs" priority="12" operator="equal" dxfId="0">
      <formula>"N"</formula>
    </cfRule>
  </conditionalFormatting>
  <conditionalFormatting sqref="D10">
    <cfRule type="cellIs" priority="13" operator="lessThan" dxfId="0">
      <formula>0</formula>
    </cfRule>
  </conditionalFormatting>
  <conditionalFormatting sqref="F10">
    <cfRule type="cellIs" priority="14" operator="equal" dxfId="0">
      <formula>"N"</formula>
    </cfRule>
  </conditionalFormatting>
  <conditionalFormatting sqref="D11">
    <cfRule type="cellIs" priority="15" operator="lessThan" dxfId="0">
      <formula>0</formula>
    </cfRule>
  </conditionalFormatting>
  <conditionalFormatting sqref="F11">
    <cfRule type="cellIs" priority="16" operator="equal" dxfId="0">
      <formula>"N"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8" customWidth="1" min="5" max="5"/>
  </cols>
  <sheetData>
    <row r="1">
      <c r="A1" s="3" t="inlineStr">
        <is>
          <t>儿童种植盲盒 复盘后监控（填当前值，状态自动判定）</t>
        </is>
      </c>
    </row>
    <row r="3">
      <c r="A3" s="4" t="inlineStr">
        <is>
          <t>监控指标</t>
        </is>
      </c>
      <c r="B3" s="4" t="inlineStr">
        <is>
          <t>当前值</t>
        </is>
      </c>
      <c r="C3" s="4" t="inlineStr">
        <is>
          <t>预警阈值</t>
        </is>
      </c>
      <c r="D3" s="4" t="inlineStr">
        <is>
          <t>状态</t>
        </is>
      </c>
      <c r="E3" s="4" t="inlineStr">
        <is>
          <t>触发动作</t>
        </is>
      </c>
    </row>
    <row r="4">
      <c r="A4" t="inlineStr">
        <is>
          <t>点击率CTR</t>
        </is>
      </c>
      <c r="B4" s="5" t="n">
        <v>0.01</v>
      </c>
      <c r="C4" s="14" t="inlineStr">
        <is>
          <t>≥1%</t>
        </is>
      </c>
      <c r="D4" s="9">
        <f>IF(B4="","",IF(B4&gt;=C4,"正常","异常"))</f>
        <v/>
      </c>
      <c r="E4" s="13" t="inlineStr">
        <is>
          <t>换主图/标题</t>
        </is>
      </c>
    </row>
    <row r="5">
      <c r="A5" t="inlineStr">
        <is>
          <t>加购率</t>
        </is>
      </c>
      <c r="B5" s="5" t="n">
        <v>0.05</v>
      </c>
      <c r="C5" s="14" t="inlineStr">
        <is>
          <t>≥5%</t>
        </is>
      </c>
      <c r="D5" s="9">
        <f>IF(B5="","",IF(B5&gt;=C5,"正常","异常"))</f>
        <v/>
      </c>
      <c r="E5" s="13" t="inlineStr">
        <is>
          <t>查卖点/价格</t>
        </is>
      </c>
    </row>
    <row r="6">
      <c r="A6" t="inlineStr">
        <is>
          <t>转化率CVR</t>
        </is>
      </c>
      <c r="B6" s="5" t="n">
        <v>0.02</v>
      </c>
      <c r="C6" s="14" t="inlineStr">
        <is>
          <t>≥2%</t>
        </is>
      </c>
      <c r="D6" s="9">
        <f>IF(B6="","",IF(B6&gt;=C6,"正常","异常"))</f>
        <v/>
      </c>
      <c r="E6" s="13" t="inlineStr">
        <is>
          <t>优化详情页</t>
        </is>
      </c>
    </row>
    <row r="7">
      <c r="A7" t="inlineStr">
        <is>
          <t>退货率</t>
        </is>
      </c>
      <c r="B7" s="5" t="n">
        <v>0.08</v>
      </c>
      <c r="C7" s="14" t="inlineStr">
        <is>
          <t>≤8%</t>
        </is>
      </c>
      <c r="D7" s="9">
        <f>IF(B7="","",IF(B7&lt;=C7,"正常","异常"))</f>
        <v/>
      </c>
      <c r="E7" s="13" t="inlineStr">
        <is>
          <t>质检/描述修正</t>
        </is>
      </c>
    </row>
    <row r="8">
      <c r="A8" t="inlineStr">
        <is>
          <t>评分</t>
        </is>
      </c>
      <c r="B8" s="5" t="n">
        <v>4.5</v>
      </c>
      <c r="C8" s="14" t="inlineStr">
        <is>
          <t>≥4.5</t>
        </is>
      </c>
      <c r="D8" s="9">
        <f>IF(B8="","",IF(B8&gt;=C8,"正常","异常"))</f>
        <v/>
      </c>
      <c r="E8" s="13" t="inlineStr">
        <is>
          <t>售后优化</t>
        </is>
      </c>
    </row>
    <row r="9">
      <c r="A9" t="inlineStr">
        <is>
          <t>达人出单率</t>
        </is>
      </c>
      <c r="B9" s="5" t="n">
        <v>0.4</v>
      </c>
      <c r="C9" s="14" t="inlineStr">
        <is>
          <t>≥40%</t>
        </is>
      </c>
      <c r="D9" s="9">
        <f>IF(B9="","",IF(B9&gt;=C9,"正常","异常"))</f>
        <v/>
      </c>
      <c r="E9" s="13" t="inlineStr">
        <is>
          <t>筛高精准达人</t>
        </is>
      </c>
    </row>
    <row r="10">
      <c r="A10" t="inlineStr">
        <is>
          <t>净利率</t>
        </is>
      </c>
      <c r="B10" s="5" t="n">
        <v>0.1</v>
      </c>
      <c r="C10" s="14" t="inlineStr">
        <is>
          <t>≥10%</t>
        </is>
      </c>
      <c r="D10" s="9">
        <f>IF(B10="","",IF(B10&gt;=C10,"正常","异常"))</f>
        <v/>
      </c>
      <c r="E10" s="13" t="inlineStr">
        <is>
          <t>提客单/压成本</t>
        </is>
      </c>
    </row>
    <row r="11">
      <c r="A11" t="inlineStr">
        <is>
          <t>综合ROAS</t>
        </is>
      </c>
      <c r="B11" s="5" t="n">
        <v>1.5</v>
      </c>
      <c r="C11" s="14" t="inlineStr">
        <is>
          <t>≥1.5</t>
        </is>
      </c>
      <c r="D11" s="9">
        <f>IF(B11="","",IF(B11&gt;=C11,"正常","异常"))</f>
        <v/>
      </c>
      <c r="E11" s="13" t="inlineStr">
        <is>
          <t>停亏损素材</t>
        </is>
      </c>
    </row>
  </sheetData>
  <conditionalFormatting sqref="D4">
    <cfRule type="cellIs" priority="1" operator="equal" dxfId="0">
      <formula>"异常"</formula>
    </cfRule>
  </conditionalFormatting>
  <conditionalFormatting sqref="D5">
    <cfRule type="cellIs" priority="2" operator="equal" dxfId="0">
      <formula>"异常"</formula>
    </cfRule>
  </conditionalFormatting>
  <conditionalFormatting sqref="D6">
    <cfRule type="cellIs" priority="3" operator="equal" dxfId="0">
      <formula>"异常"</formula>
    </cfRule>
  </conditionalFormatting>
  <conditionalFormatting sqref="D7">
    <cfRule type="cellIs" priority="4" operator="equal" dxfId="0">
      <formula>"异常"</formula>
    </cfRule>
  </conditionalFormatting>
  <conditionalFormatting sqref="D8">
    <cfRule type="cellIs" priority="5" operator="equal" dxfId="0">
      <formula>"异常"</formula>
    </cfRule>
  </conditionalFormatting>
  <conditionalFormatting sqref="D9">
    <cfRule type="cellIs" priority="6" operator="equal" dxfId="0">
      <formula>"异常"</formula>
    </cfRule>
  </conditionalFormatting>
  <conditionalFormatting sqref="D10">
    <cfRule type="cellIs" priority="7" operator="equal" dxfId="0">
      <formula>"异常"</formula>
    </cfRule>
  </conditionalFormatting>
  <conditionalFormatting sqref="D11">
    <cfRule type="cellIs" priority="8" operator="equal" dxfId="0">
      <formula>"异常"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4" customWidth="1" min="5" max="5"/>
    <col width="12" customWidth="1" min="6" max="6"/>
    <col width="12" customWidth="1" min="7" max="7"/>
    <col width="12" customWidth="1" min="8" max="8"/>
    <col width="10" customWidth="1" min="9" max="9"/>
  </cols>
  <sheetData>
    <row r="1">
      <c r="A1" s="3" t="inlineStr">
        <is>
          <t>投流追踪（10美金/天起步，直接ROAS≥1.2续投/综合≥1.5放大）</t>
        </is>
      </c>
    </row>
    <row r="3">
      <c r="A3" s="4" t="inlineStr">
        <is>
          <t>日期</t>
        </is>
      </c>
      <c r="B3" s="4" t="inlineStr">
        <is>
          <t>预算(USD)</t>
        </is>
      </c>
      <c r="C3" s="4" t="inlineStr">
        <is>
          <t>曝光</t>
        </is>
      </c>
      <c r="D3" s="4" t="inlineStr">
        <is>
          <t>点击</t>
        </is>
      </c>
      <c r="E3" s="4" t="inlineStr">
        <is>
          <t>GMV(VND)</t>
        </is>
      </c>
      <c r="F3" s="4" t="inlineStr">
        <is>
          <t>直接ROAS</t>
        </is>
      </c>
      <c r="G3" s="4" t="inlineStr">
        <is>
          <t>综合ROAS</t>
        </is>
      </c>
      <c r="H3" s="4" t="inlineStr">
        <is>
          <t>自然单占比</t>
        </is>
      </c>
      <c r="I3" s="4" t="inlineStr">
        <is>
          <t>决策</t>
        </is>
      </c>
    </row>
    <row r="4">
      <c r="A4" s="5" t="n"/>
      <c r="B4" s="5" t="n"/>
      <c r="C4" s="5" t="n"/>
      <c r="D4" s="5" t="n"/>
      <c r="E4" s="5" t="n"/>
      <c r="F4" s="9">
        <f>IF(D4=0,"",E4/D4/27000)</f>
        <v/>
      </c>
      <c r="G4" s="9" t="n"/>
      <c r="H4" s="13" t="n"/>
      <c r="I4" s="13" t="n"/>
    </row>
    <row r="5">
      <c r="A5" s="5" t="n"/>
      <c r="B5" s="5" t="n"/>
      <c r="C5" s="5" t="n"/>
      <c r="D5" s="5" t="n"/>
      <c r="E5" s="5" t="n"/>
      <c r="F5" s="9">
        <f>IF(D5=0,"",E5/D5/27000)</f>
        <v/>
      </c>
      <c r="G5" s="9" t="n"/>
      <c r="H5" s="13" t="n"/>
      <c r="I5" s="13" t="n"/>
    </row>
    <row r="6">
      <c r="A6" s="5" t="n"/>
      <c r="B6" s="5" t="n"/>
      <c r="C6" s="5" t="n"/>
      <c r="D6" s="5" t="n"/>
      <c r="E6" s="5" t="n"/>
      <c r="F6" s="9">
        <f>IF(D6=0,"",E6/D6/27000)</f>
        <v/>
      </c>
      <c r="G6" s="9" t="n"/>
      <c r="H6" s="13" t="n"/>
      <c r="I6" s="13" t="n"/>
    </row>
    <row r="7">
      <c r="A7" s="5" t="n"/>
      <c r="B7" s="5" t="n"/>
      <c r="C7" s="5" t="n"/>
      <c r="D7" s="5" t="n"/>
      <c r="E7" s="5" t="n"/>
      <c r="F7" s="9">
        <f>IF(D7=0,"",E7/D7/27000)</f>
        <v/>
      </c>
      <c r="G7" s="9" t="n"/>
      <c r="H7" s="13" t="n"/>
      <c r="I7" s="13" t="n"/>
    </row>
    <row r="8">
      <c r="A8" s="5" t="n"/>
      <c r="B8" s="5" t="n"/>
      <c r="C8" s="5" t="n"/>
      <c r="D8" s="5" t="n"/>
      <c r="E8" s="5" t="n"/>
      <c r="F8" s="9">
        <f>IF(D8=0,"",E8/D8/27000)</f>
        <v/>
      </c>
      <c r="G8" s="9" t="n"/>
      <c r="H8" s="13" t="n"/>
      <c r="I8" s="13" t="n"/>
    </row>
    <row r="9">
      <c r="A9" s="5" t="n"/>
      <c r="B9" s="5" t="n"/>
      <c r="C9" s="5" t="n"/>
      <c r="D9" s="5" t="n"/>
      <c r="E9" s="5" t="n"/>
      <c r="F9" s="9">
        <f>IF(D9=0,"",E9/D9/27000)</f>
        <v/>
      </c>
      <c r="G9" s="9" t="n"/>
      <c r="H9" s="13" t="n"/>
      <c r="I9" s="13" t="n"/>
    </row>
    <row r="10">
      <c r="A10" s="5" t="n"/>
      <c r="B10" s="5" t="n"/>
      <c r="C10" s="5" t="n"/>
      <c r="D10" s="5" t="n"/>
      <c r="E10" s="5" t="n"/>
      <c r="F10" s="9">
        <f>IF(D10=0,"",E10/D10/27000)</f>
        <v/>
      </c>
      <c r="G10" s="9" t="n"/>
      <c r="H10" s="13" t="n"/>
      <c r="I10" s="13" t="n"/>
    </row>
    <row r="11">
      <c r="A11" s="5" t="n"/>
      <c r="B11" s="5" t="n"/>
      <c r="C11" s="5" t="n"/>
      <c r="D11" s="5" t="n"/>
      <c r="E11" s="5" t="n"/>
      <c r="F11" s="9">
        <f>IF(D11=0,"",E11/D11/27000)</f>
        <v/>
      </c>
      <c r="G11" s="9" t="n"/>
      <c r="H11" s="13" t="n"/>
      <c r="I11" s="13" t="n"/>
    </row>
    <row r="12">
      <c r="A12" s="5" t="n"/>
      <c r="B12" s="5" t="n"/>
      <c r="C12" s="5" t="n"/>
      <c r="D12" s="5" t="n"/>
      <c r="E12" s="5" t="n"/>
      <c r="F12" s="9">
        <f>IF(D12=0,"",E12/D12/27000)</f>
        <v/>
      </c>
      <c r="G12" s="9" t="n"/>
      <c r="H12" s="13" t="n"/>
      <c r="I12" s="13" t="n"/>
    </row>
    <row r="13">
      <c r="A13" s="5" t="n"/>
      <c r="B13" s="5" t="n"/>
      <c r="C13" s="5" t="n"/>
      <c r="D13" s="5" t="n"/>
      <c r="E13" s="5" t="n"/>
      <c r="F13" s="9">
        <f>IF(D13=0,"",E13/D13/27000)</f>
        <v/>
      </c>
      <c r="G13" s="9" t="n"/>
      <c r="H13" s="13" t="n"/>
      <c r="I13" s="13" t="n"/>
    </row>
    <row r="14">
      <c r="A14" s="5" t="n"/>
      <c r="B14" s="5" t="n"/>
      <c r="C14" s="5" t="n"/>
      <c r="D14" s="5" t="n"/>
      <c r="E14" s="5" t="n"/>
      <c r="F14" s="9">
        <f>IF(D14=0,"",E14/D14/27000)</f>
        <v/>
      </c>
      <c r="G14" s="9" t="n"/>
      <c r="H14" s="13" t="n"/>
      <c r="I14" s="13" t="n"/>
    </row>
    <row r="15">
      <c r="A15" s="5" t="n"/>
      <c r="B15" s="5" t="n"/>
      <c r="C15" s="5" t="n"/>
      <c r="D15" s="5" t="n"/>
      <c r="E15" s="5" t="n"/>
      <c r="F15" s="9">
        <f>IF(D15=0,"",E15/D15/27000)</f>
        <v/>
      </c>
      <c r="G15" s="9" t="n"/>
      <c r="H15" s="13" t="n"/>
      <c r="I15" s="13" t="n"/>
    </row>
    <row r="16">
      <c r="A16" s="5" t="n"/>
      <c r="B16" s="5" t="n"/>
      <c r="C16" s="5" t="n"/>
      <c r="D16" s="5" t="n"/>
      <c r="E16" s="5" t="n"/>
      <c r="F16" s="9">
        <f>IF(D16=0,"",E16/D16/27000)</f>
        <v/>
      </c>
      <c r="G16" s="9" t="n"/>
      <c r="H16" s="13" t="n"/>
      <c r="I16" s="13" t="n"/>
    </row>
    <row r="17">
      <c r="A17" s="5" t="n"/>
      <c r="B17" s="5" t="n"/>
      <c r="C17" s="5" t="n"/>
      <c r="D17" s="5" t="n"/>
      <c r="E17" s="5" t="n"/>
      <c r="F17" s="9">
        <f>IF(D17=0,"",E17/D17/27000)</f>
        <v/>
      </c>
      <c r="G17" s="9" t="n"/>
      <c r="H17" s="13" t="n"/>
      <c r="I17" s="1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8" customWidth="1" min="4" max="4"/>
    <col width="8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</cols>
  <sheetData>
    <row r="1">
      <c r="A1" s="3" t="inlineStr">
        <is>
          <t>达人管线（小样先行：先10人校准建联转化率，再扩50→100；出单ROI≥1续投/&lt;1停）</t>
        </is>
      </c>
    </row>
    <row r="3">
      <c r="A3" s="4" t="inlineStr">
        <is>
          <t>达人</t>
        </is>
      </c>
      <c r="B3" s="4" t="inlineStr">
        <is>
          <t>层级</t>
        </is>
      </c>
      <c r="C3" s="4" t="inlineStr">
        <is>
          <t>触达</t>
        </is>
      </c>
      <c r="D3" s="4" t="inlineStr">
        <is>
          <t>寄样</t>
        </is>
      </c>
      <c r="E3" s="4" t="inlineStr">
        <is>
          <t>出片</t>
        </is>
      </c>
      <c r="F3" s="4" t="inlineStr">
        <is>
          <t>出单数</t>
        </is>
      </c>
      <c r="G3" s="4" t="inlineStr">
        <is>
          <t>样品成本</t>
        </is>
      </c>
      <c r="H3" s="4" t="inlineStr">
        <is>
          <t>达人GMV</t>
        </is>
      </c>
      <c r="I3" s="4" t="inlineStr">
        <is>
          <t>出单ROI</t>
        </is>
      </c>
      <c r="J3" s="4" t="inlineStr">
        <is>
          <t>复投决策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9">
        <f>IF(H4=0,"",I4/H4)</f>
        <v/>
      </c>
      <c r="J4" s="13" t="n"/>
    </row>
    <row r="5">
      <c r="A5" s="5" t="n"/>
      <c r="B5" s="5" t="n"/>
      <c r="C5" s="5" t="n"/>
      <c r="D5" s="5" t="n"/>
      <c r="E5" s="5" t="n"/>
      <c r="F5" s="5" t="n"/>
      <c r="G5" s="5" t="n"/>
      <c r="H5" s="5" t="n"/>
      <c r="I5" s="9">
        <f>IF(H5=0,"",I5/H5)</f>
        <v/>
      </c>
      <c r="J5" s="13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9">
        <f>IF(H6=0,"",I6/H6)</f>
        <v/>
      </c>
      <c r="J6" s="13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9">
        <f>IF(H7=0,"",I7/H7)</f>
        <v/>
      </c>
      <c r="J7" s="13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9">
        <f>IF(H8=0,"",I8/H8)</f>
        <v/>
      </c>
      <c r="J8" s="13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9">
        <f>IF(H9=0,"",I9/H9)</f>
        <v/>
      </c>
      <c r="J9" s="13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9">
        <f>IF(H10=0,"",I10/H10)</f>
        <v/>
      </c>
      <c r="J10" s="13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9">
        <f>IF(H11=0,"",I11/H11)</f>
        <v/>
      </c>
      <c r="J11" s="13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9">
        <f>IF(H12=0,"",I12/H12)</f>
        <v/>
      </c>
      <c r="J12" s="13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9">
        <f>IF(H13=0,"",I13/H13)</f>
        <v/>
      </c>
      <c r="J13" s="13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9">
        <f>IF(H14=0,"",I14/H14)</f>
        <v/>
      </c>
      <c r="J14" s="13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9">
        <f>IF(H15=0,"",I15/H15)</f>
        <v/>
      </c>
      <c r="J15" s="13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9">
        <f>IF(H16=0,"",I16/H16)</f>
        <v/>
      </c>
      <c r="J16" s="13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9">
        <f>IF(H17=0,"",I17/H17)</f>
        <v/>
      </c>
      <c r="J17" s="13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9">
        <f>IF(H18=0,"",I18/H18)</f>
        <v/>
      </c>
      <c r="J18" s="13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9">
        <f>IF(H19=0,"",I19/H19)</f>
        <v/>
      </c>
      <c r="J19" s="13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9">
        <f>IF(H20=0,"",I20/H20)</f>
        <v/>
      </c>
      <c r="J20" s="13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9">
        <f>IF(H21=0,"",I21/H21)</f>
        <v/>
      </c>
      <c r="J21" s="13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9">
        <f>IF(H22=0,"",I22/H22)</f>
        <v/>
      </c>
      <c r="J22" s="13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9">
        <f>IF(H23=0,"",I23/H23)</f>
        <v/>
      </c>
      <c r="J23" s="13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9">
        <f>IF(H24=0,"",I24/H24)</f>
        <v/>
      </c>
      <c r="J24" s="1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8" customWidth="1" min="7" max="7"/>
    <col width="12" customWidth="1" min="8" max="8"/>
  </cols>
  <sheetData>
    <row r="1">
      <c r="A1" s="3" t="inlineStr">
        <is>
          <t>内容迭代（爆款出3变体；14天播放&lt;500不追投）</t>
        </is>
      </c>
    </row>
    <row r="3">
      <c r="A3" s="4" t="inlineStr">
        <is>
          <t>视频</t>
        </is>
      </c>
      <c r="B3" s="4" t="inlineStr">
        <is>
          <t>发布日</t>
        </is>
      </c>
      <c r="C3" s="4" t="inlineStr">
        <is>
          <t>播放</t>
        </is>
      </c>
      <c r="D3" s="4" t="inlineStr">
        <is>
          <t>完播率</t>
        </is>
      </c>
      <c r="E3" s="4" t="inlineStr">
        <is>
          <t>转化单</t>
        </is>
      </c>
      <c r="F3" s="4" t="inlineStr">
        <is>
          <t>是否爆款</t>
        </is>
      </c>
      <c r="G3" s="4" t="inlineStr">
        <is>
          <t>变体</t>
        </is>
      </c>
      <c r="H3" s="4" t="inlineStr">
        <is>
          <t>淘汰/追投</t>
        </is>
      </c>
    </row>
    <row r="4">
      <c r="A4" s="5" t="n"/>
      <c r="B4" s="5" t="n"/>
      <c r="C4" s="5" t="n"/>
      <c r="D4" s="5" t="n"/>
      <c r="E4" s="5" t="n"/>
      <c r="F4" s="13" t="n"/>
      <c r="G4" s="13" t="n"/>
      <c r="H4" s="13" t="n"/>
    </row>
    <row r="5">
      <c r="A5" s="5" t="n"/>
      <c r="B5" s="5" t="n"/>
      <c r="C5" s="5" t="n"/>
      <c r="D5" s="5" t="n"/>
      <c r="E5" s="5" t="n"/>
      <c r="F5" s="13" t="n"/>
      <c r="G5" s="13" t="n"/>
      <c r="H5" s="13" t="n"/>
    </row>
    <row r="6">
      <c r="A6" s="5" t="n"/>
      <c r="B6" s="5" t="n"/>
      <c r="C6" s="5" t="n"/>
      <c r="D6" s="5" t="n"/>
      <c r="E6" s="5" t="n"/>
      <c r="F6" s="13" t="n"/>
      <c r="G6" s="13" t="n"/>
      <c r="H6" s="13" t="n"/>
    </row>
    <row r="7">
      <c r="A7" s="5" t="n"/>
      <c r="B7" s="5" t="n"/>
      <c r="C7" s="5" t="n"/>
      <c r="D7" s="5" t="n"/>
      <c r="E7" s="5" t="n"/>
      <c r="F7" s="13" t="n"/>
      <c r="G7" s="13" t="n"/>
      <c r="H7" s="13" t="n"/>
    </row>
    <row r="8">
      <c r="A8" s="5" t="n"/>
      <c r="B8" s="5" t="n"/>
      <c r="C8" s="5" t="n"/>
      <c r="D8" s="5" t="n"/>
      <c r="E8" s="5" t="n"/>
      <c r="F8" s="13" t="n"/>
      <c r="G8" s="13" t="n"/>
      <c r="H8" s="13" t="n"/>
    </row>
    <row r="9">
      <c r="A9" s="5" t="n"/>
      <c r="B9" s="5" t="n"/>
      <c r="C9" s="5" t="n"/>
      <c r="D9" s="5" t="n"/>
      <c r="E9" s="5" t="n"/>
      <c r="F9" s="13" t="n"/>
      <c r="G9" s="13" t="n"/>
      <c r="H9" s="13" t="n"/>
    </row>
    <row r="10">
      <c r="A10" s="5" t="n"/>
      <c r="B10" s="5" t="n"/>
      <c r="C10" s="5" t="n"/>
      <c r="D10" s="5" t="n"/>
      <c r="E10" s="5" t="n"/>
      <c r="F10" s="13" t="n"/>
      <c r="G10" s="13" t="n"/>
      <c r="H10" s="13" t="n"/>
    </row>
    <row r="11">
      <c r="A11" s="5" t="n"/>
      <c r="B11" s="5" t="n"/>
      <c r="C11" s="5" t="n"/>
      <c r="D11" s="5" t="n"/>
      <c r="E11" s="5" t="n"/>
      <c r="F11" s="13" t="n"/>
      <c r="G11" s="13" t="n"/>
      <c r="H11" s="13" t="n"/>
    </row>
    <row r="12">
      <c r="A12" s="5" t="n"/>
      <c r="B12" s="5" t="n"/>
      <c r="C12" s="5" t="n"/>
      <c r="D12" s="5" t="n"/>
      <c r="E12" s="5" t="n"/>
      <c r="F12" s="13" t="n"/>
      <c r="G12" s="13" t="n"/>
      <c r="H12" s="13" t="n"/>
    </row>
    <row r="13">
      <c r="A13" s="5" t="n"/>
      <c r="B13" s="5" t="n"/>
      <c r="C13" s="5" t="n"/>
      <c r="D13" s="5" t="n"/>
      <c r="E13" s="5" t="n"/>
      <c r="F13" s="13" t="n"/>
      <c r="G13" s="13" t="n"/>
      <c r="H13" s="13" t="n"/>
    </row>
    <row r="14">
      <c r="A14" s="5" t="n"/>
      <c r="B14" s="5" t="n"/>
      <c r="C14" s="5" t="n"/>
      <c r="D14" s="5" t="n"/>
      <c r="E14" s="5" t="n"/>
      <c r="F14" s="13" t="n"/>
      <c r="G14" s="13" t="n"/>
      <c r="H14" s="13" t="n"/>
    </row>
    <row r="15">
      <c r="A15" s="5" t="n"/>
      <c r="B15" s="5" t="n"/>
      <c r="C15" s="5" t="n"/>
      <c r="D15" s="5" t="n"/>
      <c r="E15" s="5" t="n"/>
      <c r="F15" s="13" t="n"/>
      <c r="G15" s="13" t="n"/>
      <c r="H15" s="13" t="n"/>
    </row>
    <row r="16">
      <c r="A16" s="5" t="n"/>
      <c r="B16" s="5" t="n"/>
      <c r="C16" s="5" t="n"/>
      <c r="D16" s="5" t="n"/>
      <c r="E16" s="5" t="n"/>
      <c r="F16" s="13" t="n"/>
      <c r="G16" s="13" t="n"/>
      <c r="H16" s="13" t="n"/>
    </row>
    <row r="17">
      <c r="A17" s="5" t="n"/>
      <c r="B17" s="5" t="n"/>
      <c r="C17" s="5" t="n"/>
      <c r="D17" s="5" t="n"/>
      <c r="E17" s="5" t="n"/>
      <c r="F17" s="13" t="n"/>
      <c r="G17" s="13" t="n"/>
      <c r="H17" s="13" t="n"/>
    </row>
    <row r="18">
      <c r="A18" s="5" t="n"/>
      <c r="B18" s="5" t="n"/>
      <c r="C18" s="5" t="n"/>
      <c r="D18" s="5" t="n"/>
      <c r="E18" s="5" t="n"/>
      <c r="F18" s="13" t="n"/>
      <c r="G18" s="13" t="n"/>
      <c r="H18" s="13" t="n"/>
    </row>
    <row r="19">
      <c r="A19" s="5" t="n"/>
      <c r="B19" s="5" t="n"/>
      <c r="C19" s="5" t="n"/>
      <c r="D19" s="5" t="n"/>
      <c r="E19" s="5" t="n"/>
      <c r="F19" s="13" t="n"/>
      <c r="G19" s="13" t="n"/>
      <c r="H19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2026-10-08T18:18:36Z</dcterms:created>
  <dcterms:modified xmlns:dcterms="http://purl.org/dc/terms/" xmlns:xsi="http://www.w3.org/2001/XMLSchema-instance" xsi:type="dcterms:W3CDTF">2026-10-08T18:18:36Z</dcterms:modified>
</cp:coreProperties>
</file>