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单位经济模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儿童种植盲盒 单位经济变量模型 · 使用说明</t>
        </is>
      </c>
    </row>
    <row r="3">
      <c r="A3" s="2" t="inlineStr"/>
    </row>
    <row r="4">
      <c r="A4" s="2" t="inlineStr">
        <is>
          <t>【作用】算一个 SKU 到底赚不赚钱：填参数，自动算出落地成本/净利率/保本ROI，用于选品 gate 和定价谈判。</t>
        </is>
      </c>
    </row>
    <row r="5">
      <c r="A5" s="2" t="inlineStr">
        <is>
          <t>【颜色】黄色=你手动填（采购价/重量/售价/佣金率等，来源：供应商/官方PDF/卖家中心）；绿色=自动公式别动；蓝色=说明。</t>
        </is>
      </c>
    </row>
    <row r="6">
      <c r="A6" s="2" t="inlineStr">
        <is>
          <t>【怎么用】① 改「参数区」黄色单元格；② 看「计算区」净利率/保本ROI；③ 净利率&lt;10% 或 保本ROI&gt;门槛→这品不划算，压成本或提客单或淘汰。</t>
        </is>
      </c>
    </row>
    <row r="7">
      <c r="A7" s="2" t="inlineStr">
        <is>
          <t>【数据来源】采购价/重量=供应商；佣金率=官方PDF类目档；汇率=TT123实时；退货率=卖家中心历史；尾程/订单处理=官方。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儿童种植盲盒 单位经济模型（黄色改参数，绿色自动算）</t>
        </is>
      </c>
    </row>
    <row r="3">
      <c r="A3" t="inlineStr">
        <is>
          <t>参数</t>
        </is>
      </c>
      <c r="B3" s="4" t="inlineStr">
        <is>
          <t>数值</t>
        </is>
      </c>
      <c r="C3" t="inlineStr">
        <is>
          <t>单位</t>
        </is>
      </c>
      <c r="D3" s="4" t="inlineStr">
        <is>
          <t>说明</t>
        </is>
      </c>
    </row>
    <row r="4">
      <c r="A4" t="inlineStr">
        <is>
          <t>售价(VND)</t>
        </is>
      </c>
      <c r="B4" s="5" t="n">
        <v>46000</v>
      </c>
      <c r="C4" t="inlineStr">
        <is>
          <t>VND</t>
        </is>
      </c>
      <c r="D4" s="6" t="inlineStr">
        <is>
          <t>主推价</t>
        </is>
      </c>
    </row>
    <row r="5">
      <c r="A5" t="inlineStr">
        <is>
          <t>采购成本(元)</t>
        </is>
      </c>
      <c r="B5" s="5" t="n">
        <v>2.5</v>
      </c>
      <c r="C5" t="inlineStr">
        <is>
          <t>CNY</t>
        </is>
      </c>
      <c r="D5" s="6" t="inlineStr">
        <is>
          <t>2个装含头程</t>
        </is>
      </c>
    </row>
    <row r="6">
      <c r="A6" t="inlineStr">
        <is>
          <t>外箱(元)</t>
        </is>
      </c>
      <c r="B6" s="5" t="n">
        <v>0.5</v>
      </c>
      <c r="C6" t="inlineStr">
        <is>
          <t>CNY</t>
        </is>
      </c>
      <c r="D6" s="6" t="inlineStr">
        <is>
          <t>产品纸箱</t>
        </is>
      </c>
    </row>
    <row r="7">
      <c r="A7" t="inlineStr">
        <is>
          <t>重量(g)</t>
        </is>
      </c>
      <c r="B7" s="5" t="n">
        <v>88</v>
      </c>
      <c r="C7" t="inlineStr">
        <is>
          <t>g</t>
        </is>
      </c>
      <c r="D7" s="6" t="inlineStr">
        <is>
          <t>2个装</t>
        </is>
      </c>
    </row>
    <row r="8">
      <c r="A8" t="inlineStr">
        <is>
          <t>平台佣金率</t>
        </is>
      </c>
      <c r="B8" s="5" t="n">
        <v>0.13</v>
      </c>
      <c r="C8" t="inlineStr">
        <is>
          <t>小数</t>
        </is>
      </c>
      <c r="D8" s="6" t="inlineStr">
        <is>
          <t>Educational Toys 非Mall 13%</t>
        </is>
      </c>
    </row>
    <row r="9">
      <c r="A9" t="inlineStr">
        <is>
          <t>交易费率</t>
        </is>
      </c>
      <c r="B9" s="5" t="n">
        <v>0.06</v>
      </c>
      <c r="C9" t="inlineStr">
        <is>
          <t>小数</t>
        </is>
      </c>
      <c r="D9" s="6" t="inlineStr">
        <is>
          <t>官方6%</t>
        </is>
      </c>
    </row>
    <row r="10">
      <c r="A10" t="inlineStr">
        <is>
          <t>所得税率</t>
        </is>
      </c>
      <c r="B10" s="5" t="n">
        <v>0.01</v>
      </c>
      <c r="C10" t="inlineStr">
        <is>
          <t>小数</t>
        </is>
      </c>
      <c r="D10" s="6" t="inlineStr">
        <is>
          <t>平台代扣1%</t>
        </is>
      </c>
    </row>
    <row r="11">
      <c r="A11" t="inlineStr">
        <is>
          <t>订单处理费(VND)</t>
        </is>
      </c>
      <c r="B11" s="5" t="n">
        <v>3000</v>
      </c>
      <c r="C11" t="inlineStr">
        <is>
          <t>VND</t>
        </is>
      </c>
      <c r="D11" s="6" t="inlineStr">
        <is>
          <t>官方</t>
        </is>
      </c>
    </row>
    <row r="12">
      <c r="A12" t="inlineStr">
        <is>
          <t>买家付尾程(VND)</t>
        </is>
      </c>
      <c r="B12" s="5" t="n">
        <v>25000</v>
      </c>
      <c r="C12" t="inlineStr">
        <is>
          <t>VND</t>
        </is>
      </c>
      <c r="D12" s="6" t="inlineStr">
        <is>
          <t>计入6%交易费基数</t>
        </is>
      </c>
    </row>
    <row r="13">
      <c r="A13" t="inlineStr">
        <is>
          <t>退货率</t>
        </is>
      </c>
      <c r="B13" s="5" t="n">
        <v>0.08</v>
      </c>
      <c r="C13" t="inlineStr">
        <is>
          <t>小数</t>
        </is>
      </c>
      <c r="D13" s="6" t="inlineStr">
        <is>
          <t>假设</t>
        </is>
      </c>
    </row>
    <row r="14">
      <c r="A14" t="inlineStr">
        <is>
          <t>退货回程(VND)</t>
        </is>
      </c>
      <c r="B14" s="5" t="n">
        <v>20000</v>
      </c>
      <c r="C14" t="inlineStr">
        <is>
          <t>VND</t>
        </is>
      </c>
      <c r="D14" s="6" t="inlineStr">
        <is>
          <t>暂估</t>
        </is>
      </c>
    </row>
    <row r="15">
      <c r="A15" t="inlineStr">
        <is>
          <t>汇率(VND/元)</t>
        </is>
      </c>
      <c r="B15" s="5" t="n">
        <v>3875.28</v>
      </c>
      <c r="C15" t="inlineStr">
        <is>
          <t>VND/CNY</t>
        </is>
      </c>
      <c r="D15" s="6" t="inlineStr">
        <is>
          <t>TT123实时</t>
        </is>
      </c>
    </row>
    <row r="16">
      <c r="A16" t="inlineStr">
        <is>
          <t>达人佣金率</t>
        </is>
      </c>
      <c r="B16" s="5" t="n">
        <v>0.12</v>
      </c>
      <c r="C16" t="inlineStr">
        <is>
          <t>小数</t>
        </is>
      </c>
      <c r="D16" s="6" t="inlineStr">
        <is>
          <t>达人体系</t>
        </is>
      </c>
    </row>
    <row r="17">
      <c r="A17" t="inlineStr">
        <is>
          <t>达人出单率A</t>
        </is>
      </c>
      <c r="B17" s="5" t="n">
        <v>0.7771</v>
      </c>
      <c r="C17" t="inlineStr">
        <is>
          <t>小数</t>
        </is>
      </c>
      <c r="D17" s="6" t="inlineStr">
        <is>
          <t>中位数</t>
        </is>
      </c>
    </row>
    <row r="18">
      <c r="A18" t="inlineStr">
        <is>
          <t>达人出单率B</t>
        </is>
      </c>
      <c r="B18" s="5" t="n">
        <v>0.4171</v>
      </c>
      <c r="C18" t="inlineStr">
        <is>
          <t>小数</t>
        </is>
      </c>
      <c r="D18" s="6" t="inlineStr">
        <is>
          <t>最低20%平均</t>
        </is>
      </c>
    </row>
    <row r="19">
      <c r="A19" t="inlineStr">
        <is>
          <t>平均出单数</t>
        </is>
      </c>
      <c r="B19" s="5" t="n">
        <v>10</v>
      </c>
      <c r="C19" t="inlineStr">
        <is>
          <t>单</t>
        </is>
      </c>
      <c r="D19" s="6" t="inlineStr">
        <is>
          <t>假设回填</t>
        </is>
      </c>
    </row>
    <row r="20">
      <c r="A20" t="inlineStr">
        <is>
          <t>样品尾程(VND)</t>
        </is>
      </c>
      <c r="B20" s="5" t="n">
        <v>20000</v>
      </c>
      <c r="C20" t="inlineStr">
        <is>
          <t>VND</t>
        </is>
      </c>
      <c r="D20" s="6" t="inlineStr">
        <is>
          <t>寄样给达人的快递</t>
        </is>
      </c>
    </row>
    <row r="21">
      <c r="B21" s="4" t="n"/>
      <c r="D21" s="4" t="n"/>
    </row>
    <row r="22">
      <c r="A22" s="3" t="inlineStr">
        <is>
          <t>计算区（自动公式，勿动）</t>
        </is>
      </c>
      <c r="B22" s="4" t="n"/>
      <c r="D22" s="4" t="n"/>
    </row>
    <row r="23">
      <c r="A23" t="inlineStr">
        <is>
          <t>采购成本(VND)</t>
        </is>
      </c>
      <c r="B23" s="7">
        <f>B5*B15</f>
        <v/>
      </c>
      <c r="D23" s="6" t="inlineStr"/>
    </row>
    <row r="24">
      <c r="A24" t="inlineStr">
        <is>
          <t>外箱(VND)</t>
        </is>
      </c>
      <c r="B24" s="7">
        <f>B6*B15</f>
        <v/>
      </c>
      <c r="D24" s="6" t="inlineStr"/>
    </row>
    <row r="25">
      <c r="A25" t="inlineStr">
        <is>
          <t>边境仓重量费(元)</t>
        </is>
      </c>
      <c r="B25" s="7">
        <f>B7*0.00556</f>
        <v/>
      </c>
      <c r="D25" s="6" t="inlineStr"/>
    </row>
    <row r="26">
      <c r="A26" t="inlineStr">
        <is>
          <t>边境仓固定费(元)</t>
        </is>
      </c>
      <c r="B26" s="7">
        <f>1.24+0.6+0.5</f>
        <v/>
      </c>
      <c r="D26" s="6" t="inlineStr"/>
    </row>
    <row r="27">
      <c r="A27" t="inlineStr">
        <is>
          <t>边境仓总费(VND)</t>
        </is>
      </c>
      <c r="B27" s="7">
        <f>(B25+B26)*B15</f>
        <v/>
      </c>
      <c r="D27" s="6" t="inlineStr"/>
    </row>
    <row r="28">
      <c r="A28" t="inlineStr">
        <is>
          <t>落地成本(VND)</t>
        </is>
      </c>
      <c r="B28" s="7">
        <f>B23+B24+B27</f>
        <v/>
      </c>
      <c r="D28" s="6" t="inlineStr"/>
    </row>
    <row r="29">
      <c r="A29" t="inlineStr">
        <is>
          <t>佣金(VND)</t>
        </is>
      </c>
      <c r="B29" s="7">
        <f>B4*B8</f>
        <v/>
      </c>
      <c r="D29" s="6" t="inlineStr"/>
    </row>
    <row r="30">
      <c r="A30" t="inlineStr">
        <is>
          <t>交易费(VND)</t>
        </is>
      </c>
      <c r="B30" s="7">
        <f>B9*(B4+B12)</f>
        <v/>
      </c>
      <c r="D30" s="6" t="inlineStr"/>
    </row>
    <row r="31">
      <c r="A31" t="inlineStr">
        <is>
          <t>所得税(VND)</t>
        </is>
      </c>
      <c r="B31" s="7">
        <f>B10*B4</f>
        <v/>
      </c>
      <c r="D31" s="6" t="inlineStr"/>
    </row>
    <row r="32">
      <c r="A32" t="inlineStr">
        <is>
          <t>退货单位损失(VND)</t>
        </is>
      </c>
      <c r="B32" s="7">
        <f>B28+B11+B14</f>
        <v/>
      </c>
      <c r="D32" s="6" t="inlineStr"/>
    </row>
    <row r="33">
      <c r="A33" t="inlineStr">
        <is>
          <t>退货损失/单(VND)</t>
        </is>
      </c>
      <c r="B33" s="7">
        <f>B13*B32</f>
        <v/>
      </c>
      <c r="D33" s="6" t="inlineStr"/>
    </row>
    <row r="34">
      <c r="A34" t="inlineStr">
        <is>
          <t>商品卡净利润(VND)</t>
        </is>
      </c>
      <c r="B34" s="7">
        <f>B4-B29-B30-B31-B11-B28-B33</f>
        <v/>
      </c>
      <c r="D34" s="6" t="inlineStr"/>
    </row>
    <row r="35">
      <c r="A35" t="inlineStr">
        <is>
          <t>商品卡净利率</t>
        </is>
      </c>
      <c r="B35" s="8">
        <f>B34/B4</f>
        <v/>
      </c>
      <c r="D35" s="6" t="inlineStr"/>
    </row>
    <row r="36">
      <c r="A36" t="inlineStr">
        <is>
          <t>保本ROI</t>
        </is>
      </c>
      <c r="B36" s="9">
        <f>IF(B35&gt;0,1/B35,"亏损")</f>
        <v/>
      </c>
      <c r="D36" s="6" t="inlineStr"/>
    </row>
    <row r="37">
      <c r="A37" t="inlineStr">
        <is>
          <t>达人样品成本(VND)</t>
        </is>
      </c>
      <c r="B37" s="7">
        <f>B28+B20</f>
        <v/>
      </c>
      <c r="D37" s="6" t="inlineStr"/>
    </row>
    <row r="38">
      <c r="A38" t="inlineStr">
        <is>
          <t>达人样品平摊A(VND)</t>
        </is>
      </c>
      <c r="B38" s="7">
        <f>B37/(B17*B19)</f>
        <v/>
      </c>
      <c r="D38" s="6" t="inlineStr"/>
    </row>
    <row r="39">
      <c r="A39" t="inlineStr">
        <is>
          <t>达人样品平摊B(VND)</t>
        </is>
      </c>
      <c r="B39" s="7">
        <f>B37/(B18*B19)</f>
        <v/>
      </c>
      <c r="D39" s="6" t="inlineStr"/>
    </row>
    <row r="40">
      <c r="A40" t="inlineStr">
        <is>
          <t>达人A净利润(VND)</t>
        </is>
      </c>
      <c r="B40" s="7">
        <f>B34-B16*B4-B38</f>
        <v/>
      </c>
      <c r="D40" s="6" t="inlineStr"/>
    </row>
    <row r="41">
      <c r="A41" t="inlineStr">
        <is>
          <t>达人B净利润(VND)</t>
        </is>
      </c>
      <c r="B41" s="7">
        <f>B34-B16*B4-B39</f>
        <v/>
      </c>
      <c r="D41" s="6" t="inlineStr"/>
    </row>
  </sheetData>
  <conditionalFormatting sqref="B35">
    <cfRule type="cellIs" priority="1" operator="lessThan" dxfId="0">
      <formula>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2026-10-08T18:19:37Z</dcterms:created>
  <dcterms:modified xmlns:dcterms="http://purl.org/dc/terms/" xmlns:xsi="http://www.w3.org/2001/XMLSchema-instance" xsi:type="dcterms:W3CDTF">2026-10-08T18:19:37Z</dcterms:modified>
</cp:coreProperties>
</file>